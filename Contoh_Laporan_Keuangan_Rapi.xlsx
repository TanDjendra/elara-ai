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Detail Transa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6" customWidth="1" min="4" max="4"/>
    <col width="20" customWidth="1" min="5" max="5"/>
  </cols>
  <sheetData>
    <row r="1" ht="40" customHeight="1">
      <c r="A1" s="1" t="inlineStr">
        <is>
          <t>LAPORAN KEUANGAN &amp; OPERASIONAL DUMMY</t>
        </is>
      </c>
    </row>
    <row r="2" ht="20" customHeight="1">
      <c r="A2" s="2" t="inlineStr">
        <is>
          <t>Periode: September 2026 | Entitas: PT Elara Teknologi Indonesia</t>
        </is>
      </c>
    </row>
    <row r="4" ht="25" customHeight="1">
      <c r="A4" s="3" t="inlineStr">
        <is>
          <t>Indikator Utama (KPI)</t>
        </is>
      </c>
      <c r="B4" s="3" t="inlineStr">
        <is>
          <t>Nilai (IDR)</t>
        </is>
      </c>
      <c r="C4" s="3" t="inlineStr">
        <is>
          <t>Target (IDR)</t>
        </is>
      </c>
      <c r="D4" s="3" t="inlineStr">
        <is>
          <t>Pencapaian</t>
        </is>
      </c>
      <c r="E4" s="3" t="inlineStr">
        <is>
          <t>Status</t>
        </is>
      </c>
    </row>
    <row r="5">
      <c r="A5" s="4" t="inlineStr">
        <is>
          <t>Total Pendapatan (Revenue)</t>
        </is>
      </c>
      <c r="B5" s="5" t="n">
        <v>150000000</v>
      </c>
      <c r="C5" s="5" t="n">
        <v>140000000</v>
      </c>
      <c r="D5" s="6">
        <f>B5/C5</f>
        <v/>
      </c>
      <c r="E5" s="7" t="inlineStr">
        <is>
          <t>Melampaui Target</t>
        </is>
      </c>
    </row>
    <row r="6">
      <c r="A6" s="4" t="inlineStr">
        <is>
          <t>Total Pengeluaran Operasional</t>
        </is>
      </c>
      <c r="B6" s="5" t="n">
        <v>82500000</v>
      </c>
      <c r="C6" s="5" t="n">
        <v>90000000</v>
      </c>
      <c r="D6" s="6">
        <f>B6/C6</f>
        <v/>
      </c>
      <c r="E6" s="7" t="inlineStr">
        <is>
          <t>Efisien</t>
        </is>
      </c>
    </row>
    <row r="7">
      <c r="A7" s="4" t="inlineStr">
        <is>
          <t>Laba Bersih (Net Profit)</t>
        </is>
      </c>
      <c r="B7" s="5">
        <f>B5-B6</f>
        <v/>
      </c>
      <c r="C7" s="5" t="n">
        <v>50000000</v>
      </c>
      <c r="D7" s="6">
        <f>B7/C7</f>
        <v/>
      </c>
      <c r="E7" s="7" t="inlineStr">
        <is>
          <t>Sangat Baik</t>
        </is>
      </c>
    </row>
    <row r="8">
      <c r="A8" s="4" t="inlineStr">
        <is>
          <t>Margin Keuntungan Net</t>
        </is>
      </c>
      <c r="B8" s="5">
        <f>B7/B5</f>
        <v/>
      </c>
      <c r="C8" s="5" t="n">
        <v>0.35</v>
      </c>
      <c r="D8" s="6">
        <f>B8/C8</f>
        <v/>
      </c>
      <c r="E8" s="7" t="inlineStr">
        <is>
          <t>Sehat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42" customWidth="1" min="4" max="4"/>
    <col width="16" customWidth="1" min="5" max="5"/>
    <col width="14" customWidth="1" min="6" max="6"/>
    <col width="22" customWidth="1" min="7" max="7"/>
    <col width="22" customWidth="1" min="8" max="8"/>
    <col width="22" customWidth="1" min="9" max="9"/>
    <col width="24" customWidth="1" min="10" max="10"/>
    <col width="20" customWidth="1" min="11" max="11"/>
  </cols>
  <sheetData>
    <row r="1" ht="28" customHeight="1">
      <c r="A1" s="3" t="inlineStr">
        <is>
          <t>No Transaksi</t>
        </is>
      </c>
      <c r="B1" s="3" t="inlineStr">
        <is>
          <t>Tanggal</t>
        </is>
      </c>
      <c r="C1" s="3" t="inlineStr">
        <is>
          <t>Kategori</t>
        </is>
      </c>
      <c r="D1" s="3" t="inlineStr">
        <is>
          <t>Deskripsi Barang / Jasa</t>
        </is>
      </c>
      <c r="E1" s="3" t="inlineStr">
        <is>
          <t>Departemen</t>
        </is>
      </c>
      <c r="F1" s="3" t="inlineStr">
        <is>
          <t>Jumlah (Qty)</t>
        </is>
      </c>
      <c r="G1" s="3" t="inlineStr">
        <is>
          <t>Harga Satuan (IDR)</t>
        </is>
      </c>
      <c r="H1" s="3" t="inlineStr">
        <is>
          <t>Subtotal (IDR)</t>
        </is>
      </c>
      <c r="I1" s="3" t="inlineStr">
        <is>
          <t>Pajak PPN 11% (IDR)</t>
        </is>
      </c>
      <c r="J1" s="3" t="inlineStr">
        <is>
          <t>Total Akhir (IDR)</t>
        </is>
      </c>
      <c r="K1" s="3" t="inlineStr">
        <is>
          <t>Status Pembayaran</t>
        </is>
      </c>
    </row>
    <row r="2">
      <c r="A2" s="7" t="inlineStr">
        <is>
          <t>TRX-2026-001</t>
        </is>
      </c>
      <c r="B2" s="7" t="inlineStr">
        <is>
          <t>2026-09-01</t>
        </is>
      </c>
      <c r="C2" s="4" t="inlineStr">
        <is>
          <t>Inventaris</t>
        </is>
      </c>
      <c r="D2" s="4" t="inlineStr">
        <is>
          <t>Laptop High Performance 16 inch</t>
        </is>
      </c>
      <c r="E2" s="4" t="inlineStr">
        <is>
          <t>Engineering</t>
        </is>
      </c>
      <c r="F2" s="8" t="n">
        <v>3</v>
      </c>
      <c r="G2" s="5" t="n">
        <v>22000000</v>
      </c>
      <c r="H2" s="5">
        <f>F2*G2</f>
        <v/>
      </c>
      <c r="I2" s="5">
        <f>H2*0.11</f>
        <v/>
      </c>
      <c r="J2" s="5">
        <f>H2+I2</f>
        <v/>
      </c>
      <c r="K2" s="7" t="inlineStr">
        <is>
          <t>Lunas</t>
        </is>
      </c>
    </row>
    <row r="3">
      <c r="A3" s="7" t="inlineStr">
        <is>
          <t>TRX-2026-002</t>
        </is>
      </c>
      <c r="B3" s="7" t="inlineStr">
        <is>
          <t>2026-09-05</t>
        </is>
      </c>
      <c r="C3" s="4" t="inlineStr">
        <is>
          <t>Infrastruktur</t>
        </is>
      </c>
      <c r="D3" s="4" t="inlineStr">
        <is>
          <t>Server Cloud AWS &amp; Regional Hosting</t>
        </is>
      </c>
      <c r="E3" s="4" t="inlineStr">
        <is>
          <t>DevOps</t>
        </is>
      </c>
      <c r="F3" s="8" t="n">
        <v>1</v>
      </c>
      <c r="G3" s="5" t="n">
        <v>18500000</v>
      </c>
      <c r="H3" s="5">
        <f>F3*G3</f>
        <v/>
      </c>
      <c r="I3" s="5">
        <f>H3*0.11</f>
        <v/>
      </c>
      <c r="J3" s="5">
        <f>H3+I3</f>
        <v/>
      </c>
      <c r="K3" s="7" t="inlineStr">
        <is>
          <t>Lunas</t>
        </is>
      </c>
    </row>
    <row r="4">
      <c r="A4" s="7" t="inlineStr">
        <is>
          <t>TRX-2026-003</t>
        </is>
      </c>
      <c r="B4" s="7" t="inlineStr">
        <is>
          <t>2026-09-10</t>
        </is>
      </c>
      <c r="C4" s="4" t="inlineStr">
        <is>
          <t>Perlengkapan</t>
        </is>
      </c>
      <c r="D4" s="4" t="inlineStr">
        <is>
          <t>Monitor Ultrawide 34 inch Dual Ergonomic</t>
        </is>
      </c>
      <c r="E4" s="4" t="inlineStr">
        <is>
          <t>Design</t>
        </is>
      </c>
      <c r="F4" s="8" t="n">
        <v>4</v>
      </c>
      <c r="G4" s="5" t="n">
        <v>7500000</v>
      </c>
      <c r="H4" s="5">
        <f>F4*G4</f>
        <v/>
      </c>
      <c r="I4" s="5">
        <f>H4*0.11</f>
        <v/>
      </c>
      <c r="J4" s="5">
        <f>H4+I4</f>
        <v/>
      </c>
      <c r="K4" s="7" t="inlineStr">
        <is>
          <t>Lunas</t>
        </is>
      </c>
    </row>
    <row r="5">
      <c r="A5" s="7" t="inlineStr">
        <is>
          <t>TRX-2026-004</t>
        </is>
      </c>
      <c r="B5" s="7" t="inlineStr">
        <is>
          <t>2026-09-12</t>
        </is>
      </c>
      <c r="C5" s="4" t="inlineStr">
        <is>
          <t>Lisensi Software</t>
        </is>
      </c>
      <c r="D5" s="4" t="inlineStr">
        <is>
          <t>Langganan Enterprise API &amp; AI Models</t>
        </is>
      </c>
      <c r="E5" s="4" t="inlineStr">
        <is>
          <t>Product</t>
        </is>
      </c>
      <c r="F5" s="8" t="n">
        <v>1</v>
      </c>
      <c r="G5" s="5" t="n">
        <v>12000000</v>
      </c>
      <c r="H5" s="5">
        <f>F5*G5</f>
        <v/>
      </c>
      <c r="I5" s="5">
        <f>H5*0.11</f>
        <v/>
      </c>
      <c r="J5" s="5">
        <f>H5+I5</f>
        <v/>
      </c>
      <c r="K5" s="7" t="inlineStr">
        <is>
          <t>Pending</t>
        </is>
      </c>
    </row>
    <row r="6">
      <c r="A6" s="7" t="inlineStr">
        <is>
          <t>TRX-2026-005</t>
        </is>
      </c>
      <c r="B6" s="7" t="inlineStr">
        <is>
          <t>2026-09-15</t>
        </is>
      </c>
      <c r="C6" s="4" t="inlineStr">
        <is>
          <t>Aksesori</t>
        </is>
      </c>
      <c r="D6" s="4" t="inlineStr">
        <is>
          <t>Mechanical Keyboard &amp; Ergonomic Mouse Set</t>
        </is>
      </c>
      <c r="E6" s="4" t="inlineStr">
        <is>
          <t>Engineering</t>
        </is>
      </c>
      <c r="F6" s="8" t="n">
        <v>6</v>
      </c>
      <c r="G6" s="5" t="n">
        <v>1800000</v>
      </c>
      <c r="H6" s="5">
        <f>F6*G6</f>
        <v/>
      </c>
      <c r="I6" s="5">
        <f>H6*0.11</f>
        <v/>
      </c>
      <c r="J6" s="5">
        <f>H6+I6</f>
        <v/>
      </c>
      <c r="K6" s="7" t="inlineStr">
        <is>
          <t>Lunas</t>
        </is>
      </c>
    </row>
    <row r="7">
      <c r="A7" s="7" t="inlineStr">
        <is>
          <t>TRX-2026-006</t>
        </is>
      </c>
      <c r="B7" s="7" t="inlineStr">
        <is>
          <t>2026-09-20</t>
        </is>
      </c>
      <c r="C7" s="4" t="inlineStr">
        <is>
          <t>Operasional Kantor</t>
        </is>
      </c>
      <c r="D7" s="4" t="inlineStr">
        <is>
          <t>Fasilitas Meja &amp; Kursi Kerja Ergonomis</t>
        </is>
      </c>
      <c r="E7" s="4" t="inlineStr">
        <is>
          <t>HR &amp; Admin</t>
        </is>
      </c>
      <c r="F7" s="8" t="n">
        <v>2</v>
      </c>
      <c r="G7" s="5" t="n">
        <v>4500000</v>
      </c>
      <c r="H7" s="5">
        <f>F7*G7</f>
        <v/>
      </c>
      <c r="I7" s="5">
        <f>H7*0.11</f>
        <v/>
      </c>
      <c r="J7" s="5">
        <f>H7+I7</f>
        <v/>
      </c>
      <c r="K7" s="7" t="inlineStr">
        <is>
          <t>Lunas</t>
        </is>
      </c>
    </row>
    <row r="8">
      <c r="E8" s="9" t="inlineStr">
        <is>
          <t>TOTAL KESELURUHAN</t>
        </is>
      </c>
      <c r="F8" s="10">
        <f>SUM(F2:F7)</f>
        <v/>
      </c>
      <c r="H8" s="11">
        <f>SUM(H2:H7)</f>
        <v/>
      </c>
      <c r="I8" s="11">
        <f>SUM(I2:I7)</f>
        <v/>
      </c>
      <c r="J8" s="11">
        <f>SUM(J2:J7)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2026-09-26T08:28:38Z</dcterms:created>
  <dcterms:modified xmlns:dcterms="http://purl.org/dc/terms/" xmlns:xsi="http://www.w3.org/2001/XMLSchema-instance" xsi:type="dcterms:W3CDTF">2026-09-26T08:28:38Z</dcterms:modified>
</cp:coreProperties>
</file>